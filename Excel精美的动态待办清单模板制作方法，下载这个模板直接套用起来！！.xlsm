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预备上传的内容\函数版自动待办清单\"/>
    </mc:Choice>
  </mc:AlternateContent>
  <xr:revisionPtr revIDLastSave="0" documentId="13_ncr:1_{C53E9B54-2F4F-47FC-A840-754E5A614302}" xr6:coauthVersionLast="47" xr6:coauthVersionMax="47" xr10:uidLastSave="{00000000-0000-0000-0000-000000000000}"/>
  <bookViews>
    <workbookView xWindow="-120" yWindow="-120" windowWidth="29040" windowHeight="15840" xr2:uid="{A23C24EA-6D6E-4520-A925-CC7E2FFFA4D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1" i="1"/>
  <c r="I7" i="1" a="1"/>
  <c r="I7" i="1" s="1"/>
  <c r="J7" i="1" a="1"/>
  <c r="J7" i="1" s="1"/>
  <c r="I8" i="1" a="1"/>
  <c r="I8" i="1" s="1"/>
  <c r="J8" i="1" a="1"/>
  <c r="J8" i="1" s="1"/>
  <c r="I9" i="1" a="1"/>
  <c r="I9" i="1" s="1"/>
  <c r="J9" i="1" a="1"/>
  <c r="J9" i="1" s="1"/>
  <c r="I10" i="1" a="1"/>
  <c r="I10" i="1" s="1"/>
  <c r="J10" i="1" a="1"/>
  <c r="J10" i="1" s="1"/>
  <c r="I11" i="1" a="1"/>
  <c r="I11" i="1" s="1"/>
  <c r="J11" i="1" a="1"/>
  <c r="J11" i="1" s="1"/>
  <c r="I12" i="1" a="1"/>
  <c r="I12" i="1" s="1"/>
  <c r="J12" i="1" a="1"/>
  <c r="J12" i="1" s="1"/>
  <c r="I13" i="1" a="1"/>
  <c r="I13" i="1" s="1"/>
  <c r="J13" i="1" a="1"/>
  <c r="J13" i="1" s="1"/>
  <c r="I14" i="1" a="1"/>
  <c r="I14" i="1" s="1"/>
  <c r="J14" i="1" a="1"/>
  <c r="J14" i="1" s="1"/>
  <c r="I15" i="1" a="1"/>
  <c r="I15" i="1" s="1"/>
  <c r="J15" i="1" a="1"/>
  <c r="J15" i="1" s="1"/>
  <c r="I16" i="1" a="1"/>
  <c r="I16" i="1" s="1"/>
  <c r="J16" i="1" a="1"/>
  <c r="J16" i="1" s="1"/>
  <c r="I17" i="1" a="1"/>
  <c r="I17" i="1" s="1"/>
  <c r="J17" i="1" a="1"/>
  <c r="J17" i="1" s="1"/>
  <c r="I18" i="1" a="1"/>
  <c r="I18" i="1" s="1"/>
  <c r="J18" i="1" a="1"/>
  <c r="J18" i="1" s="1"/>
  <c r="I19" i="1" a="1"/>
  <c r="I19" i="1" s="1"/>
  <c r="J19" i="1" a="1"/>
  <c r="J19" i="1" s="1"/>
  <c r="I20" i="1" a="1"/>
  <c r="I20" i="1" s="1"/>
  <c r="J20" i="1" a="1"/>
  <c r="J20" i="1" s="1"/>
  <c r="I21" i="1" a="1"/>
  <c r="I21" i="1" s="1"/>
  <c r="J21" i="1" a="1"/>
  <c r="J21" i="1" s="1"/>
  <c r="I22" i="1" a="1"/>
  <c r="I22" i="1" s="1"/>
  <c r="J22" i="1" a="1"/>
  <c r="J22" i="1" s="1"/>
  <c r="I23" i="1" a="1"/>
  <c r="I23" i="1" s="1"/>
  <c r="J23" i="1" a="1"/>
  <c r="J23" i="1" s="1"/>
  <c r="J6" i="1" a="1"/>
  <c r="J6" i="1" s="1"/>
  <c r="I6" i="1" a="1"/>
  <c r="I6" i="1" s="1"/>
  <c r="F7" i="1" a="1"/>
  <c r="F7" i="1" s="1"/>
  <c r="G7" i="1" a="1"/>
  <c r="G7" i="1" s="1"/>
  <c r="F8" i="1" a="1"/>
  <c r="F8" i="1" s="1"/>
  <c r="G8" i="1" a="1"/>
  <c r="G8" i="1" s="1"/>
  <c r="F9" i="1" a="1"/>
  <c r="F9" i="1" s="1"/>
  <c r="G9" i="1" a="1"/>
  <c r="G9" i="1" s="1"/>
  <c r="F10" i="1" a="1"/>
  <c r="F10" i="1" s="1"/>
  <c r="G10" i="1" a="1"/>
  <c r="G10" i="1" s="1"/>
  <c r="F11" i="1" a="1"/>
  <c r="F11" i="1" s="1"/>
  <c r="G11" i="1" a="1"/>
  <c r="G11" i="1" s="1"/>
  <c r="F12" i="1" a="1"/>
  <c r="F12" i="1" s="1"/>
  <c r="G12" i="1" a="1"/>
  <c r="G12" i="1" s="1"/>
  <c r="F13" i="1" a="1"/>
  <c r="F13" i="1" s="1"/>
  <c r="G13" i="1" a="1"/>
  <c r="G13" i="1" s="1"/>
  <c r="F14" i="1" a="1"/>
  <c r="F14" i="1" s="1"/>
  <c r="G14" i="1" a="1"/>
  <c r="G14" i="1" s="1"/>
  <c r="F15" i="1" a="1"/>
  <c r="F15" i="1" s="1"/>
  <c r="G15" i="1" a="1"/>
  <c r="G15" i="1" s="1"/>
  <c r="F16" i="1" a="1"/>
  <c r="F16" i="1" s="1"/>
  <c r="G16" i="1" a="1"/>
  <c r="G16" i="1" s="1"/>
  <c r="F17" i="1" a="1"/>
  <c r="F17" i="1" s="1"/>
  <c r="G17" i="1" a="1"/>
  <c r="G17" i="1" s="1"/>
  <c r="F18" i="1" a="1"/>
  <c r="F18" i="1" s="1"/>
  <c r="G18" i="1" a="1"/>
  <c r="G18" i="1" s="1"/>
  <c r="F19" i="1" a="1"/>
  <c r="F19" i="1" s="1"/>
  <c r="G19" i="1" a="1"/>
  <c r="G19" i="1" s="1"/>
  <c r="F20" i="1" a="1"/>
  <c r="F20" i="1" s="1"/>
  <c r="G20" i="1" a="1"/>
  <c r="G20" i="1" s="1"/>
  <c r="F21" i="1" a="1"/>
  <c r="F21" i="1" s="1"/>
  <c r="G21" i="1" a="1"/>
  <c r="G21" i="1" s="1"/>
  <c r="F22" i="1" a="1"/>
  <c r="F22" i="1" s="1"/>
  <c r="G22" i="1" a="1"/>
  <c r="G22" i="1" s="1"/>
  <c r="F23" i="1" a="1"/>
  <c r="F23" i="1" s="1"/>
  <c r="G23" i="1" a="1"/>
  <c r="G23" i="1" s="1"/>
  <c r="G6" i="1" a="1"/>
  <c r="G6" i="1" s="1"/>
  <c r="F6" i="1" a="1"/>
  <c r="F6" i="1" s="1"/>
  <c r="C3" i="1" l="1"/>
</calcChain>
</file>

<file path=xl/sharedStrings.xml><?xml version="1.0" encoding="utf-8"?>
<sst xmlns="http://schemas.openxmlformats.org/spreadsheetml/2006/main" count="30" uniqueCount="26">
  <si>
    <r>
      <rPr>
        <sz val="11"/>
        <color theme="1"/>
        <rFont val="微软雅黑"/>
        <family val="2"/>
        <charset val="134"/>
      </rPr>
      <t>项目</t>
    </r>
    <phoneticPr fontId="1" type="noConversion"/>
  </si>
  <si>
    <r>
      <rPr>
        <sz val="11"/>
        <color theme="1"/>
        <rFont val="微软雅黑"/>
        <family val="2"/>
        <charset val="134"/>
      </rPr>
      <t>内容</t>
    </r>
    <phoneticPr fontId="1" type="noConversion"/>
  </si>
  <si>
    <t>完成情况</t>
    <phoneticPr fontId="1" type="noConversion"/>
  </si>
  <si>
    <t>地形图测绘</t>
    <phoneticPr fontId="3" type="noConversion"/>
  </si>
  <si>
    <t>总体规划设计</t>
    <phoneticPr fontId="3" type="noConversion"/>
  </si>
  <si>
    <t>地质勘察</t>
    <phoneticPr fontId="3" type="noConversion"/>
  </si>
  <si>
    <t>建筑设计</t>
    <phoneticPr fontId="3" type="noConversion"/>
  </si>
  <si>
    <t>城市建设配套</t>
    <phoneticPr fontId="3" type="noConversion"/>
  </si>
  <si>
    <t>招标</t>
    <phoneticPr fontId="3" type="noConversion"/>
  </si>
  <si>
    <t>监理</t>
    <phoneticPr fontId="3" type="noConversion"/>
  </si>
  <si>
    <t>预结算审计</t>
    <phoneticPr fontId="3" type="noConversion"/>
  </si>
  <si>
    <t>消防配套</t>
    <phoneticPr fontId="3" type="noConversion"/>
  </si>
  <si>
    <t>施工合同鉴证</t>
    <phoneticPr fontId="3" type="noConversion"/>
  </si>
  <si>
    <t>噪音</t>
    <phoneticPr fontId="3" type="noConversion"/>
  </si>
  <si>
    <t>避雷安装检测</t>
    <phoneticPr fontId="3" type="noConversion"/>
  </si>
  <si>
    <t>人防</t>
    <phoneticPr fontId="3" type="noConversion"/>
  </si>
  <si>
    <t>墙改</t>
    <phoneticPr fontId="3" type="noConversion"/>
  </si>
  <si>
    <t>文物钻探</t>
    <phoneticPr fontId="3" type="noConversion"/>
  </si>
  <si>
    <t>垃圾处理</t>
    <phoneticPr fontId="3" type="noConversion"/>
  </si>
  <si>
    <t>散装水泥专项基金</t>
  </si>
  <si>
    <t>建筑方案评审</t>
    <phoneticPr fontId="3" type="noConversion"/>
  </si>
  <si>
    <t>项目进度总表</t>
    <phoneticPr fontId="1" type="noConversion"/>
  </si>
  <si>
    <t>TO DO LIST</t>
    <phoneticPr fontId="1" type="noConversion"/>
  </si>
  <si>
    <t>待办清单</t>
    <phoneticPr fontId="1" type="noConversion"/>
  </si>
  <si>
    <t>完成项目</t>
    <phoneticPr fontId="1" type="noConversion"/>
  </si>
  <si>
    <t>未完成项目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</si>
</sst>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1"/>
      <color rgb="FF0070C0"/>
      <name val="微软雅黑"/>
      <family val="2"/>
      <charset val="134"/>
    </font>
    <font>
      <sz val="9"/>
      <color rgb="FF000000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00B0F0"/>
      </left>
      <right/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>
      <alignment vertical="center"/>
    </xf>
    <xf numFmtId="9" fontId="5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>
      <alignment vertical="center"/>
    </xf>
    <xf numFmtId="9" fontId="7" fillId="0" borderId="0" xfId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3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strike/>
        <color theme="1" tint="0.49998474074526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306-4A89-A962-1DA7453050CA}"/>
              </c:ext>
            </c:extLst>
          </c:dPt>
          <c:val>
            <c:numRef>
              <c:f>Sheet1!$C$1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06-4A89-A962-1DA7453050CA}"/>
            </c:ext>
          </c:extLst>
        </c:ser>
        <c:ser>
          <c:idx val="1"/>
          <c:order val="1"/>
          <c:spPr>
            <a:solidFill>
              <a:srgbClr val="0070C0"/>
            </a:solidFill>
            <a:ln>
              <a:solidFill>
                <a:schemeClr val="tx1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F87685-C103-453B-8CD1-F6F7CA6CE495}" type="CELLRANGE">
                      <a:rPr lang="en-US" altLang="zh-CN"/>
                      <a:pPr/>
                      <a:t>[CELLRANGE]</a:t>
                    </a:fld>
                    <a:endParaRPr lang="zh-CN" alt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306-4A89-A962-1DA7453050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Sheet1!$C$2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Sheet1!$C$3</c15:f>
                <c15:dlblRangeCache>
                  <c:ptCount val="1"/>
                  <c:pt idx="0">
                    <c:v>已完成0%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2306-4A89-A962-1DA74530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08441752"/>
        <c:axId val="508441424"/>
      </c:barChart>
      <c:catAx>
        <c:axId val="508441752"/>
        <c:scaling>
          <c:orientation val="minMax"/>
        </c:scaling>
        <c:delete val="1"/>
        <c:axPos val="l"/>
        <c:majorTickMark val="none"/>
        <c:minorTickMark val="none"/>
        <c:tickLblPos val="nextTo"/>
        <c:crossAx val="508441424"/>
        <c:crosses val="autoZero"/>
        <c:auto val="1"/>
        <c:lblAlgn val="ctr"/>
        <c:lblOffset val="100"/>
        <c:noMultiLvlLbl val="0"/>
      </c:catAx>
      <c:valAx>
        <c:axId val="508441424"/>
        <c:scaling>
          <c:orientation val="minMax"/>
          <c:max val="18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50844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fmlaLink="$D$6" lockText="1" noThreeD="1"/>
</file>

<file path=xl/ctrlProps/ctrlProp2.xml><?xml version="1.0" encoding="utf-8"?>
<formControlPr xmlns="http://schemas.microsoft.com/office/spreadsheetml/2009/9/main" objectType="CheckBox" fmlaLink="$D$7" lockText="1" noThreeD="1"/>
</file>

<file path=xl/ctrlProps/ctrlProp3.xml><?xml version="1.0" encoding="utf-8"?>
<formControlPr xmlns="http://schemas.microsoft.com/office/spreadsheetml/2009/9/main" objectType="CheckBox" fmlaLink="$D$8" lockText="1" noThreeD="1"/>
</file>

<file path=xl/ctrlProps/ctrlProp4.xml><?xml version="1.0" encoding="utf-8"?>
<formControlPr xmlns="http://schemas.microsoft.com/office/spreadsheetml/2009/9/main" objectType="CheckBox" fmlaLink="$D$9" lockText="1" noThreeD="1"/>
</file>

<file path=xl/ctrlProps/ctrlProp5.xml><?xml version="1.0" encoding="utf-8"?>
<formControlPr xmlns="http://schemas.microsoft.com/office/spreadsheetml/2009/9/main" objectType="CheckBox" fmlaLink="$D$10" lockText="1" noThreeD="1"/>
</file>

<file path=xl/ctrlProps/ctrlProp6.xml><?xml version="1.0" encoding="utf-8"?>
<formControlPr xmlns="http://schemas.microsoft.com/office/spreadsheetml/2009/9/main" objectType="CheckBox" fmlaLink="$D$11" lockText="1" noThreeD="1"/>
</file>

<file path=xl/ctrlProps/ctrlProp7.xml><?xml version="1.0" encoding="utf-8"?>
<formControlPr xmlns="http://schemas.microsoft.com/office/spreadsheetml/2009/9/main" objectType="CheckBox" fmlaLink="$D$12" lockText="1" noThreeD="1"/>
</file>

<file path=xl/ctrlProps/ctrlProp8.xml><?xml version="1.0" encoding="utf-8"?>
<formControlPr xmlns="http://schemas.microsoft.com/office/spreadsheetml/2009/9/main" objectType="CheckBox" fmlaLink="$D$13" lockText="1" noThreeD="1"/>
</file>

<file path=xl/ctrlProps/ctrlProp9.xml><?xml version="1.0" encoding="utf-8"?>
<formControlPr xmlns="http://schemas.microsoft.com/office/spreadsheetml/2009/9/main" objectType="CheckBox" fmlaLink="$D$14" lockText="1" noThreeD="1"/>
</file>

<file path=xl/ctrlProps/ctrlProp10.xml><?xml version="1.0" encoding="utf-8"?>
<formControlPr xmlns="http://schemas.microsoft.com/office/spreadsheetml/2009/9/main" objectType="CheckBox" fmlaLink="$D$15" lockText="1" noThreeD="1"/>
</file>

<file path=xl/ctrlProps/ctrlProp11.xml><?xml version="1.0" encoding="utf-8"?>
<formControlPr xmlns="http://schemas.microsoft.com/office/spreadsheetml/2009/9/main" objectType="CheckBox" fmlaLink="$D$16" lockText="1" noThreeD="1"/>
</file>

<file path=xl/ctrlProps/ctrlProp12.xml><?xml version="1.0" encoding="utf-8"?>
<formControlPr xmlns="http://schemas.microsoft.com/office/spreadsheetml/2009/9/main" objectType="CheckBox" fmlaLink="$D$17" lockText="1" noThreeD="1"/>
</file>

<file path=xl/ctrlProps/ctrlProp13.xml><?xml version="1.0" encoding="utf-8"?>
<formControlPr xmlns="http://schemas.microsoft.com/office/spreadsheetml/2009/9/main" objectType="CheckBox" fmlaLink="$D$18" lockText="1" noThreeD="1"/>
</file>

<file path=xl/ctrlProps/ctrlProp14.xml><?xml version="1.0" encoding="utf-8"?>
<formControlPr xmlns="http://schemas.microsoft.com/office/spreadsheetml/2009/9/main" objectType="CheckBox" fmlaLink="$D$19" lockText="1" noThreeD="1"/>
</file>

<file path=xl/ctrlProps/ctrlProp15.xml><?xml version="1.0" encoding="utf-8"?>
<formControlPr xmlns="http://schemas.microsoft.com/office/spreadsheetml/2009/9/main" objectType="CheckBox" fmlaLink="$D$20" lockText="1" noThreeD="1"/>
</file>

<file path=xl/ctrlProps/ctrlProp16.xml><?xml version="1.0" encoding="utf-8"?>
<formControlPr xmlns="http://schemas.microsoft.com/office/spreadsheetml/2009/9/main" objectType="CheckBox" fmlaLink="$D$21" lockText="1" noThreeD="1"/>
</file>

<file path=xl/ctrlProps/ctrlProp17.xml><?xml version="1.0" encoding="utf-8"?>
<formControlPr xmlns="http://schemas.microsoft.com/office/spreadsheetml/2009/9/main" objectType="CheckBox" fmlaLink="$D$22" lockText="1" noThreeD="1"/>
</file>

<file path=xl/ctrlProps/ctrlProp18.xml><?xml version="1.0" encoding="utf-8"?>
<formControlPr xmlns="http://schemas.microsoft.com/office/spreadsheetml/2009/9/main" objectType="CheckBox" fmlaLink="$D$23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5</xdr:row>
          <xdr:rowOff>9525</xdr:rowOff>
        </xdr:from>
        <xdr:to>
          <xdr:col>3</xdr:col>
          <xdr:colOff>685800</xdr:colOff>
          <xdr:row>5</xdr:row>
          <xdr:rowOff>180975</xdr:rowOff>
        </xdr:to>
        <xdr:sp macro="" textlink="">
          <xdr:nvSpPr>
            <xdr:cNvPr id="1205" name="复选框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6</xdr:row>
          <xdr:rowOff>9525</xdr:rowOff>
        </xdr:from>
        <xdr:to>
          <xdr:col>3</xdr:col>
          <xdr:colOff>685800</xdr:colOff>
          <xdr:row>6</xdr:row>
          <xdr:rowOff>180975</xdr:rowOff>
        </xdr:to>
        <xdr:sp macro="" textlink="">
          <xdr:nvSpPr>
            <xdr:cNvPr id="1206" name="复选框1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7</xdr:row>
          <xdr:rowOff>9525</xdr:rowOff>
        </xdr:from>
        <xdr:to>
          <xdr:col>3</xdr:col>
          <xdr:colOff>685800</xdr:colOff>
          <xdr:row>7</xdr:row>
          <xdr:rowOff>180975</xdr:rowOff>
        </xdr:to>
        <xdr:sp macro="" textlink="">
          <xdr:nvSpPr>
            <xdr:cNvPr id="1207" name="复选框1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8</xdr:row>
          <xdr:rowOff>9525</xdr:rowOff>
        </xdr:from>
        <xdr:to>
          <xdr:col>3</xdr:col>
          <xdr:colOff>685800</xdr:colOff>
          <xdr:row>8</xdr:row>
          <xdr:rowOff>180975</xdr:rowOff>
        </xdr:to>
        <xdr:sp macro="" textlink="">
          <xdr:nvSpPr>
            <xdr:cNvPr id="1208" name="复选框1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9</xdr:row>
          <xdr:rowOff>9525</xdr:rowOff>
        </xdr:from>
        <xdr:to>
          <xdr:col>3</xdr:col>
          <xdr:colOff>685800</xdr:colOff>
          <xdr:row>9</xdr:row>
          <xdr:rowOff>180975</xdr:rowOff>
        </xdr:to>
        <xdr:sp macro="" textlink="">
          <xdr:nvSpPr>
            <xdr:cNvPr id="1209" name="复选框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10</xdr:row>
          <xdr:rowOff>9525</xdr:rowOff>
        </xdr:from>
        <xdr:to>
          <xdr:col>3</xdr:col>
          <xdr:colOff>685800</xdr:colOff>
          <xdr:row>10</xdr:row>
          <xdr:rowOff>180975</xdr:rowOff>
        </xdr:to>
        <xdr:sp macro="" textlink="">
          <xdr:nvSpPr>
            <xdr:cNvPr id="1210" name="复选框1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11</xdr:row>
          <xdr:rowOff>9525</xdr:rowOff>
        </xdr:from>
        <xdr:to>
          <xdr:col>3</xdr:col>
          <xdr:colOff>685800</xdr:colOff>
          <xdr:row>11</xdr:row>
          <xdr:rowOff>180975</xdr:rowOff>
        </xdr:to>
        <xdr:sp macro="" textlink="">
          <xdr:nvSpPr>
            <xdr:cNvPr id="1211" name="复选框1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0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12</xdr:row>
          <xdr:rowOff>9525</xdr:rowOff>
        </xdr:from>
        <xdr:to>
          <xdr:col>3</xdr:col>
          <xdr:colOff>685800</xdr:colOff>
          <xdr:row>12</xdr:row>
          <xdr:rowOff>180975</xdr:rowOff>
        </xdr:to>
        <xdr:sp macro="" textlink="">
          <xdr:nvSpPr>
            <xdr:cNvPr id="1212" name="复选框1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13</xdr:row>
          <xdr:rowOff>9525</xdr:rowOff>
        </xdr:from>
        <xdr:to>
          <xdr:col>3</xdr:col>
          <xdr:colOff>685800</xdr:colOff>
          <xdr:row>13</xdr:row>
          <xdr:rowOff>180975</xdr:rowOff>
        </xdr:to>
        <xdr:sp macro="" textlink="">
          <xdr:nvSpPr>
            <xdr:cNvPr id="1213" name="复选框1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0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14</xdr:row>
          <xdr:rowOff>9525</xdr:rowOff>
        </xdr:from>
        <xdr:to>
          <xdr:col>3</xdr:col>
          <xdr:colOff>685800</xdr:colOff>
          <xdr:row>14</xdr:row>
          <xdr:rowOff>180975</xdr:rowOff>
        </xdr:to>
        <xdr:sp macro="" textlink="">
          <xdr:nvSpPr>
            <xdr:cNvPr id="1214" name="复选框1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0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15</xdr:row>
          <xdr:rowOff>9525</xdr:rowOff>
        </xdr:from>
        <xdr:to>
          <xdr:col>3</xdr:col>
          <xdr:colOff>685800</xdr:colOff>
          <xdr:row>15</xdr:row>
          <xdr:rowOff>180975</xdr:rowOff>
        </xdr:to>
        <xdr:sp macro="" textlink="">
          <xdr:nvSpPr>
            <xdr:cNvPr id="1215" name="复选框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16</xdr:row>
          <xdr:rowOff>9525</xdr:rowOff>
        </xdr:from>
        <xdr:to>
          <xdr:col>3</xdr:col>
          <xdr:colOff>685800</xdr:colOff>
          <xdr:row>16</xdr:row>
          <xdr:rowOff>180975</xdr:rowOff>
        </xdr:to>
        <xdr:sp macro="" textlink="">
          <xdr:nvSpPr>
            <xdr:cNvPr id="1216" name="复选框1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17</xdr:row>
          <xdr:rowOff>9525</xdr:rowOff>
        </xdr:from>
        <xdr:to>
          <xdr:col>3</xdr:col>
          <xdr:colOff>685800</xdr:colOff>
          <xdr:row>17</xdr:row>
          <xdr:rowOff>180975</xdr:rowOff>
        </xdr:to>
        <xdr:sp macro="" textlink="">
          <xdr:nvSpPr>
            <xdr:cNvPr id="1217" name="复选框1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0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18</xdr:row>
          <xdr:rowOff>9525</xdr:rowOff>
        </xdr:from>
        <xdr:to>
          <xdr:col>3</xdr:col>
          <xdr:colOff>685800</xdr:colOff>
          <xdr:row>18</xdr:row>
          <xdr:rowOff>180975</xdr:rowOff>
        </xdr:to>
        <xdr:sp macro="" textlink="">
          <xdr:nvSpPr>
            <xdr:cNvPr id="1218" name="复选框1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19</xdr:row>
          <xdr:rowOff>9525</xdr:rowOff>
        </xdr:from>
        <xdr:to>
          <xdr:col>3</xdr:col>
          <xdr:colOff>685800</xdr:colOff>
          <xdr:row>19</xdr:row>
          <xdr:rowOff>180975</xdr:rowOff>
        </xdr:to>
        <xdr:sp macro="" textlink="">
          <xdr:nvSpPr>
            <xdr:cNvPr id="1219" name="复选框1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0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20</xdr:row>
          <xdr:rowOff>9525</xdr:rowOff>
        </xdr:from>
        <xdr:to>
          <xdr:col>3</xdr:col>
          <xdr:colOff>685800</xdr:colOff>
          <xdr:row>20</xdr:row>
          <xdr:rowOff>180975</xdr:rowOff>
        </xdr:to>
        <xdr:sp macro="" textlink="">
          <xdr:nvSpPr>
            <xdr:cNvPr id="1220" name="复选框1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21</xdr:row>
          <xdr:rowOff>9525</xdr:rowOff>
        </xdr:from>
        <xdr:to>
          <xdr:col>3</xdr:col>
          <xdr:colOff>685800</xdr:colOff>
          <xdr:row>21</xdr:row>
          <xdr:rowOff>180975</xdr:rowOff>
        </xdr:to>
        <xdr:sp macro="" textlink="">
          <xdr:nvSpPr>
            <xdr:cNvPr id="1221" name="复选框1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22</xdr:row>
          <xdr:rowOff>9525</xdr:rowOff>
        </xdr:from>
        <xdr:to>
          <xdr:col>3</xdr:col>
          <xdr:colOff>685800</xdr:colOff>
          <xdr:row>22</xdr:row>
          <xdr:rowOff>180975</xdr:rowOff>
        </xdr:to>
        <xdr:sp macro="" textlink="">
          <xdr:nvSpPr>
            <xdr:cNvPr id="1222" name="复选框1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完成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29306</xdr:colOff>
      <xdr:row>0</xdr:row>
      <xdr:rowOff>1</xdr:rowOff>
    </xdr:from>
    <xdr:to>
      <xdr:col>9</xdr:col>
      <xdr:colOff>1260229</xdr:colOff>
      <xdr:row>2</xdr:row>
      <xdr:rowOff>175847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B0A03-76AF-4592-AD04-A499436A2251}">
  <sheetPr codeName="Sheet1"/>
  <dimension ref="A1:L23"/>
  <sheetViews>
    <sheetView showGridLines="0" tabSelected="1" zoomScale="130" zoomScaleNormal="130" workbookViewId="0">
      <selection activeCell="M10" sqref="M10"/>
    </sheetView>
  </sheetViews>
  <sheetFormatPr defaultRowHeight="16.5" x14ac:dyDescent="0.3"/>
  <cols>
    <col min="3" max="3" width="15.33203125" bestFit="1" customWidth="1"/>
    <col min="5" max="5" width="1.88671875" customWidth="1"/>
    <col min="6" max="6" width="7.77734375" style="6" customWidth="1"/>
    <col min="7" max="7" width="14.109375" style="6" customWidth="1"/>
    <col min="8" max="8" width="1.5546875" customWidth="1"/>
    <col min="9" max="9" width="7.5546875" style="6" customWidth="1"/>
    <col min="10" max="10" width="15.21875" style="6" customWidth="1"/>
    <col min="12" max="12" width="10.6640625" bestFit="1" customWidth="1"/>
  </cols>
  <sheetData>
    <row r="1" spans="1:12" x14ac:dyDescent="0.3">
      <c r="A1" s="10"/>
      <c r="B1" s="10"/>
      <c r="C1" s="7">
        <f>COUNTA(D:D)-1</f>
        <v>18</v>
      </c>
      <c r="D1" s="10"/>
      <c r="E1" s="10"/>
      <c r="F1" s="11"/>
      <c r="G1" s="11"/>
      <c r="H1" s="10"/>
      <c r="I1" s="11"/>
      <c r="J1" s="11"/>
      <c r="K1" s="10"/>
    </row>
    <row r="2" spans="1:12" x14ac:dyDescent="0.3">
      <c r="A2" s="10"/>
      <c r="B2" s="10"/>
      <c r="C2" s="7">
        <f>COUNTIF(D:D,TRUE)</f>
        <v>0</v>
      </c>
      <c r="D2" s="10"/>
      <c r="E2" s="10"/>
      <c r="F2" s="11"/>
      <c r="G2" s="11"/>
      <c r="H2" s="10"/>
      <c r="I2" s="11"/>
      <c r="J2" s="11"/>
      <c r="K2" s="10"/>
      <c r="L2" s="6" t="s">
        <v>22</v>
      </c>
    </row>
    <row r="3" spans="1:12" x14ac:dyDescent="0.3">
      <c r="A3" s="10"/>
      <c r="B3" s="10"/>
      <c r="C3" s="8" t="str">
        <f>"已完成"&amp;TEXT(C2/C1,"0%")</f>
        <v>已完成0%</v>
      </c>
      <c r="D3" s="10"/>
      <c r="E3" s="10"/>
      <c r="F3" s="11"/>
      <c r="G3" s="11"/>
      <c r="H3" s="10"/>
      <c r="I3" s="11"/>
      <c r="J3" s="11"/>
      <c r="K3" s="10"/>
      <c r="L3" s="9" t="s">
        <v>23</v>
      </c>
    </row>
    <row r="4" spans="1:12" x14ac:dyDescent="0.3">
      <c r="B4" s="12" t="s">
        <v>21</v>
      </c>
      <c r="C4" s="13"/>
      <c r="D4" s="14"/>
      <c r="F4" s="15" t="s">
        <v>24</v>
      </c>
      <c r="G4" s="16"/>
      <c r="I4" s="17" t="s">
        <v>25</v>
      </c>
      <c r="J4" s="18"/>
    </row>
    <row r="5" spans="1:12" x14ac:dyDescent="0.3">
      <c r="B5" s="3" t="s">
        <v>0</v>
      </c>
      <c r="C5" s="3" t="s">
        <v>1</v>
      </c>
      <c r="D5" s="4" t="s">
        <v>2</v>
      </c>
      <c r="F5" s="3" t="s">
        <v>0</v>
      </c>
      <c r="G5" s="3" t="s">
        <v>1</v>
      </c>
      <c r="I5" s="3" t="s">
        <v>0</v>
      </c>
      <c r="J5" s="3" t="s">
        <v>1</v>
      </c>
    </row>
    <row r="6" spans="1:12" x14ac:dyDescent="0.3">
      <c r="B6" s="1">
        <v>1</v>
      </c>
      <c r="C6" s="2" t="s">
        <v>3</v>
      </c>
      <c r="D6" s="5" t="b">
        <v>0</v>
      </c>
      <c r="F6" t="str">
        <f t="array" ref="F6">IFERROR(INDEX(B$6:B$23,SMALL(IF($D$6:$D$23=TRUE,ROW($B$6:$B$23)-5),ROW()-5)),"")</f>
        <v/>
      </c>
      <c r="G6" t="str">
        <f t="array" ref="G6">IFERROR(INDEX(C$6:C$23,SMALL(IF($D$6:$D$23=TRUE,ROW($B$6:$B$23)-5),ROW()-5)),"")</f>
        <v/>
      </c>
      <c r="I6">
        <f t="array" ref="I6">IFERROR(INDEX(B$6:B$23,SMALL(IF($D$6:$D$23=FALSE,ROW($B$6:$B$23)-5),ROW()-5)),"")</f>
        <v>1</v>
      </c>
      <c r="J6" t="str">
        <f t="array" ref="J6">IFERROR(INDEX(C$6:C$23,SMALL(IF($D$6:$D$23=FALSE,ROW($B$6:$B$23)-5),ROW()-5)),"")</f>
        <v>地形图测绘</v>
      </c>
    </row>
    <row r="7" spans="1:12" x14ac:dyDescent="0.3">
      <c r="B7" s="1">
        <v>2</v>
      </c>
      <c r="C7" s="2" t="s">
        <v>4</v>
      </c>
      <c r="D7" s="5" t="b">
        <v>0</v>
      </c>
      <c r="F7" t="str">
        <f t="array" ref="F7">IFERROR(INDEX(B$6:B$23,SMALL(IF($D$6:$D$23=TRUE,ROW($B$6:$B$23)-5),ROW()-5)),"")</f>
        <v/>
      </c>
      <c r="G7" t="str">
        <f t="array" ref="G7">IFERROR(INDEX(C$6:C$23,SMALL(IF($D$6:$D$23=TRUE,ROW($B$6:$B$23)-5),ROW()-5)),"")</f>
        <v/>
      </c>
      <c r="I7">
        <f t="array" ref="I7">IFERROR(INDEX(B$6:B$23,SMALL(IF($D$6:$D$23=FALSE,ROW($B$6:$B$23)-5),ROW()-5)),"")</f>
        <v>2</v>
      </c>
      <c r="J7" t="str">
        <f t="array" ref="J7">IFERROR(INDEX(C$6:C$23,SMALL(IF($D$6:$D$23=FALSE,ROW($B$6:$B$23)-5),ROW()-5)),"")</f>
        <v>总体规划设计</v>
      </c>
    </row>
    <row r="8" spans="1:12" x14ac:dyDescent="0.3">
      <c r="B8" s="1">
        <v>3</v>
      </c>
      <c r="C8" s="2" t="s">
        <v>5</v>
      </c>
      <c r="D8" s="5" t="b">
        <v>0</v>
      </c>
      <c r="F8" t="str">
        <f t="array" ref="F8">IFERROR(INDEX(B$6:B$23,SMALL(IF($D$6:$D$23=TRUE,ROW($B$6:$B$23)-5),ROW()-5)),"")</f>
        <v/>
      </c>
      <c r="G8" t="str">
        <f t="array" ref="G8">IFERROR(INDEX(C$6:C$23,SMALL(IF($D$6:$D$23=TRUE,ROW($B$6:$B$23)-5),ROW()-5)),"")</f>
        <v/>
      </c>
      <c r="I8">
        <f t="array" ref="I8">IFERROR(INDEX(B$6:B$23,SMALL(IF($D$6:$D$23=FALSE,ROW($B$6:$B$23)-5),ROW()-5)),"")</f>
        <v>3</v>
      </c>
      <c r="J8" t="str">
        <f t="array" ref="J8">IFERROR(INDEX(C$6:C$23,SMALL(IF($D$6:$D$23=FALSE,ROW($B$6:$B$23)-5),ROW()-5)),"")</f>
        <v>地质勘察</v>
      </c>
    </row>
    <row r="9" spans="1:12" x14ac:dyDescent="0.3">
      <c r="B9" s="1">
        <v>4</v>
      </c>
      <c r="C9" s="2" t="s">
        <v>6</v>
      </c>
      <c r="D9" s="5" t="b">
        <v>0</v>
      </c>
      <c r="F9" t="str">
        <f t="array" ref="F9">IFERROR(INDEX(B$6:B$23,SMALL(IF($D$6:$D$23=TRUE,ROW($B$6:$B$23)-5),ROW()-5)),"")</f>
        <v/>
      </c>
      <c r="G9" t="str">
        <f t="array" ref="G9">IFERROR(INDEX(C$6:C$23,SMALL(IF($D$6:$D$23=TRUE,ROW($B$6:$B$23)-5),ROW()-5)),"")</f>
        <v/>
      </c>
      <c r="I9">
        <f t="array" ref="I9">IFERROR(INDEX(B$6:B$23,SMALL(IF($D$6:$D$23=FALSE,ROW($B$6:$B$23)-5),ROW()-5)),"")</f>
        <v>4</v>
      </c>
      <c r="J9" t="str">
        <f t="array" ref="J9">IFERROR(INDEX(C$6:C$23,SMALL(IF($D$6:$D$23=FALSE,ROW($B$6:$B$23)-5),ROW()-5)),"")</f>
        <v>建筑设计</v>
      </c>
    </row>
    <row r="10" spans="1:12" x14ac:dyDescent="0.3">
      <c r="B10" s="1">
        <v>5</v>
      </c>
      <c r="C10" s="2" t="s">
        <v>7</v>
      </c>
      <c r="D10" s="5" t="b">
        <v>0</v>
      </c>
      <c r="F10" t="str">
        <f t="array" ref="F10">IFERROR(INDEX(B$6:B$23,SMALL(IF($D$6:$D$23=TRUE,ROW($B$6:$B$23)-5),ROW()-5)),"")</f>
        <v/>
      </c>
      <c r="G10" t="str">
        <f t="array" ref="G10">IFERROR(INDEX(C$6:C$23,SMALL(IF($D$6:$D$23=TRUE,ROW($B$6:$B$23)-5),ROW()-5)),"")</f>
        <v/>
      </c>
      <c r="I10">
        <f t="array" ref="I10">IFERROR(INDEX(B$6:B$23,SMALL(IF($D$6:$D$23=FALSE,ROW($B$6:$B$23)-5),ROW()-5)),"")</f>
        <v>5</v>
      </c>
      <c r="J10" t="str">
        <f t="array" ref="J10">IFERROR(INDEX(C$6:C$23,SMALL(IF($D$6:$D$23=FALSE,ROW($B$6:$B$23)-5),ROW()-5)),"")</f>
        <v>城市建设配套</v>
      </c>
    </row>
    <row r="11" spans="1:12" x14ac:dyDescent="0.3">
      <c r="B11" s="1">
        <v>6</v>
      </c>
      <c r="C11" s="2" t="s">
        <v>8</v>
      </c>
      <c r="D11" s="5" t="b">
        <v>0</v>
      </c>
      <c r="F11" t="str">
        <f t="array" ref="F11">IFERROR(INDEX(B$6:B$23,SMALL(IF($D$6:$D$23=TRUE,ROW($B$6:$B$23)-5),ROW()-5)),"")</f>
        <v/>
      </c>
      <c r="G11" t="str">
        <f t="array" ref="G11">IFERROR(INDEX(C$6:C$23,SMALL(IF($D$6:$D$23=TRUE,ROW($B$6:$B$23)-5),ROW()-5)),"")</f>
        <v/>
      </c>
      <c r="I11">
        <f t="array" ref="I11">IFERROR(INDEX(B$6:B$23,SMALL(IF($D$6:$D$23=FALSE,ROW($B$6:$B$23)-5),ROW()-5)),"")</f>
        <v>6</v>
      </c>
      <c r="J11" t="str">
        <f t="array" ref="J11">IFERROR(INDEX(C$6:C$23,SMALL(IF($D$6:$D$23=FALSE,ROW($B$6:$B$23)-5),ROW()-5)),"")</f>
        <v>招标</v>
      </c>
    </row>
    <row r="12" spans="1:12" x14ac:dyDescent="0.3">
      <c r="B12" s="1">
        <v>7</v>
      </c>
      <c r="C12" s="2" t="s">
        <v>9</v>
      </c>
      <c r="D12" s="5" t="b">
        <v>0</v>
      </c>
      <c r="F12" t="str">
        <f t="array" ref="F12">IFERROR(INDEX(B$6:B$23,SMALL(IF($D$6:$D$23=TRUE,ROW($B$6:$B$23)-5),ROW()-5)),"")</f>
        <v/>
      </c>
      <c r="G12" t="str">
        <f t="array" ref="G12">IFERROR(INDEX(C$6:C$23,SMALL(IF($D$6:$D$23=TRUE,ROW($B$6:$B$23)-5),ROW()-5)),"")</f>
        <v/>
      </c>
      <c r="I12">
        <f t="array" ref="I12">IFERROR(INDEX(B$6:B$23,SMALL(IF($D$6:$D$23=FALSE,ROW($B$6:$B$23)-5),ROW()-5)),"")</f>
        <v>7</v>
      </c>
      <c r="J12" t="str">
        <f t="array" ref="J12">IFERROR(INDEX(C$6:C$23,SMALL(IF($D$6:$D$23=FALSE,ROW($B$6:$B$23)-5),ROW()-5)),"")</f>
        <v>监理</v>
      </c>
    </row>
    <row r="13" spans="1:12" x14ac:dyDescent="0.3">
      <c r="B13" s="1">
        <v>8</v>
      </c>
      <c r="C13" s="2" t="s">
        <v>10</v>
      </c>
      <c r="D13" s="5" t="b">
        <v>0</v>
      </c>
      <c r="F13" t="str">
        <f t="array" ref="F13">IFERROR(INDEX(B$6:B$23,SMALL(IF($D$6:$D$23=TRUE,ROW($B$6:$B$23)-5),ROW()-5)),"")</f>
        <v/>
      </c>
      <c r="G13" t="str">
        <f t="array" ref="G13">IFERROR(INDEX(C$6:C$23,SMALL(IF($D$6:$D$23=TRUE,ROW($B$6:$B$23)-5),ROW()-5)),"")</f>
        <v/>
      </c>
      <c r="I13">
        <f t="array" ref="I13">IFERROR(INDEX(B$6:B$23,SMALL(IF($D$6:$D$23=FALSE,ROW($B$6:$B$23)-5),ROW()-5)),"")</f>
        <v>8</v>
      </c>
      <c r="J13" t="str">
        <f t="array" ref="J13">IFERROR(INDEX(C$6:C$23,SMALL(IF($D$6:$D$23=FALSE,ROW($B$6:$B$23)-5),ROW()-5)),"")</f>
        <v>预结算审计</v>
      </c>
    </row>
    <row r="14" spans="1:12" x14ac:dyDescent="0.3">
      <c r="B14" s="1">
        <v>9</v>
      </c>
      <c r="C14" s="2" t="s">
        <v>11</v>
      </c>
      <c r="D14" s="5" t="b">
        <v>0</v>
      </c>
      <c r="F14" t="str">
        <f t="array" ref="F14">IFERROR(INDEX(B$6:B$23,SMALL(IF($D$6:$D$23=TRUE,ROW($B$6:$B$23)-5),ROW()-5)),"")</f>
        <v/>
      </c>
      <c r="G14" t="str">
        <f t="array" ref="G14">IFERROR(INDEX(C$6:C$23,SMALL(IF($D$6:$D$23=TRUE,ROW($B$6:$B$23)-5),ROW()-5)),"")</f>
        <v/>
      </c>
      <c r="I14">
        <f t="array" ref="I14">IFERROR(INDEX(B$6:B$23,SMALL(IF($D$6:$D$23=FALSE,ROW($B$6:$B$23)-5),ROW()-5)),"")</f>
        <v>9</v>
      </c>
      <c r="J14" t="str">
        <f t="array" ref="J14">IFERROR(INDEX(C$6:C$23,SMALL(IF($D$6:$D$23=FALSE,ROW($B$6:$B$23)-5),ROW()-5)),"")</f>
        <v>消防配套</v>
      </c>
    </row>
    <row r="15" spans="1:12" x14ac:dyDescent="0.3">
      <c r="B15" s="1">
        <v>10</v>
      </c>
      <c r="C15" s="2" t="s">
        <v>12</v>
      </c>
      <c r="D15" s="5" t="b">
        <v>0</v>
      </c>
      <c r="F15" t="str">
        <f t="array" ref="F15">IFERROR(INDEX(B$6:B$23,SMALL(IF($D$6:$D$23=TRUE,ROW($B$6:$B$23)-5),ROW()-5)),"")</f>
        <v/>
      </c>
      <c r="G15" t="str">
        <f t="array" ref="G15">IFERROR(INDEX(C$6:C$23,SMALL(IF($D$6:$D$23=TRUE,ROW($B$6:$B$23)-5),ROW()-5)),"")</f>
        <v/>
      </c>
      <c r="I15">
        <f t="array" ref="I15">IFERROR(INDEX(B$6:B$23,SMALL(IF($D$6:$D$23=FALSE,ROW($B$6:$B$23)-5),ROW()-5)),"")</f>
        <v>10</v>
      </c>
      <c r="J15" t="str">
        <f t="array" ref="J15">IFERROR(INDEX(C$6:C$23,SMALL(IF($D$6:$D$23=FALSE,ROW($B$6:$B$23)-5),ROW()-5)),"")</f>
        <v>施工合同鉴证</v>
      </c>
    </row>
    <row r="16" spans="1:12" x14ac:dyDescent="0.3">
      <c r="B16" s="1">
        <v>11</v>
      </c>
      <c r="C16" s="2" t="s">
        <v>13</v>
      </c>
      <c r="D16" s="5" t="b">
        <v>0</v>
      </c>
      <c r="F16" t="str">
        <f t="array" ref="F16">IFERROR(INDEX(B$6:B$23,SMALL(IF($D$6:$D$23=TRUE,ROW($B$6:$B$23)-5),ROW()-5)),"")</f>
        <v/>
      </c>
      <c r="G16" t="str">
        <f t="array" ref="G16">IFERROR(INDEX(C$6:C$23,SMALL(IF($D$6:$D$23=TRUE,ROW($B$6:$B$23)-5),ROW()-5)),"")</f>
        <v/>
      </c>
      <c r="I16">
        <f t="array" ref="I16">IFERROR(INDEX(B$6:B$23,SMALL(IF($D$6:$D$23=FALSE,ROW($B$6:$B$23)-5),ROW()-5)),"")</f>
        <v>11</v>
      </c>
      <c r="J16" t="str">
        <f t="array" ref="J16">IFERROR(INDEX(C$6:C$23,SMALL(IF($D$6:$D$23=FALSE,ROW($B$6:$B$23)-5),ROW()-5)),"")</f>
        <v>噪音</v>
      </c>
    </row>
    <row r="17" spans="2:10" x14ac:dyDescent="0.3">
      <c r="B17" s="1">
        <v>12</v>
      </c>
      <c r="C17" s="2" t="s">
        <v>14</v>
      </c>
      <c r="D17" s="5" t="b">
        <v>0</v>
      </c>
      <c r="F17" t="str">
        <f t="array" ref="F17">IFERROR(INDEX(B$6:B$23,SMALL(IF($D$6:$D$23=TRUE,ROW($B$6:$B$23)-5),ROW()-5)),"")</f>
        <v/>
      </c>
      <c r="G17" t="str">
        <f t="array" ref="G17">IFERROR(INDEX(C$6:C$23,SMALL(IF($D$6:$D$23=TRUE,ROW($B$6:$B$23)-5),ROW()-5)),"")</f>
        <v/>
      </c>
      <c r="I17">
        <f t="array" ref="I17">IFERROR(INDEX(B$6:B$23,SMALL(IF($D$6:$D$23=FALSE,ROW($B$6:$B$23)-5),ROW()-5)),"")</f>
        <v>12</v>
      </c>
      <c r="J17" t="str">
        <f t="array" ref="J17">IFERROR(INDEX(C$6:C$23,SMALL(IF($D$6:$D$23=FALSE,ROW($B$6:$B$23)-5),ROW()-5)),"")</f>
        <v>避雷安装检测</v>
      </c>
    </row>
    <row r="18" spans="2:10" x14ac:dyDescent="0.3">
      <c r="B18" s="1">
        <v>13</v>
      </c>
      <c r="C18" s="2" t="s">
        <v>15</v>
      </c>
      <c r="D18" s="5" t="b">
        <v>0</v>
      </c>
      <c r="F18" t="str">
        <f t="array" ref="F18">IFERROR(INDEX(B$6:B$23,SMALL(IF($D$6:$D$23=TRUE,ROW($B$6:$B$23)-5),ROW()-5)),"")</f>
        <v/>
      </c>
      <c r="G18" t="str">
        <f t="array" ref="G18">IFERROR(INDEX(C$6:C$23,SMALL(IF($D$6:$D$23=TRUE,ROW($B$6:$B$23)-5),ROW()-5)),"")</f>
        <v/>
      </c>
      <c r="I18">
        <f t="array" ref="I18">IFERROR(INDEX(B$6:B$23,SMALL(IF($D$6:$D$23=FALSE,ROW($B$6:$B$23)-5),ROW()-5)),"")</f>
        <v>13</v>
      </c>
      <c r="J18" t="str">
        <f t="array" ref="J18">IFERROR(INDEX(C$6:C$23,SMALL(IF($D$6:$D$23=FALSE,ROW($B$6:$B$23)-5),ROW()-5)),"")</f>
        <v>人防</v>
      </c>
    </row>
    <row r="19" spans="2:10" x14ac:dyDescent="0.3">
      <c r="B19" s="1">
        <v>14</v>
      </c>
      <c r="C19" s="2" t="s">
        <v>16</v>
      </c>
      <c r="D19" s="5" t="b">
        <v>0</v>
      </c>
      <c r="F19" t="str">
        <f t="array" ref="F19">IFERROR(INDEX(B$6:B$23,SMALL(IF($D$6:$D$23=TRUE,ROW($B$6:$B$23)-5),ROW()-5)),"")</f>
        <v/>
      </c>
      <c r="G19" t="str">
        <f t="array" ref="G19">IFERROR(INDEX(C$6:C$23,SMALL(IF($D$6:$D$23=TRUE,ROW($B$6:$B$23)-5),ROW()-5)),"")</f>
        <v/>
      </c>
      <c r="I19">
        <f t="array" ref="I19">IFERROR(INDEX(B$6:B$23,SMALL(IF($D$6:$D$23=FALSE,ROW($B$6:$B$23)-5),ROW()-5)),"")</f>
        <v>14</v>
      </c>
      <c r="J19" t="str">
        <f t="array" ref="J19">IFERROR(INDEX(C$6:C$23,SMALL(IF($D$6:$D$23=FALSE,ROW($B$6:$B$23)-5),ROW()-5)),"")</f>
        <v>墙改</v>
      </c>
    </row>
    <row r="20" spans="2:10" x14ac:dyDescent="0.3">
      <c r="B20" s="1">
        <v>15</v>
      </c>
      <c r="C20" s="2" t="s">
        <v>17</v>
      </c>
      <c r="D20" s="5" t="b">
        <v>0</v>
      </c>
      <c r="F20" t="str">
        <f t="array" ref="F20">IFERROR(INDEX(B$6:B$23,SMALL(IF($D$6:$D$23=TRUE,ROW($B$6:$B$23)-5),ROW()-5)),"")</f>
        <v/>
      </c>
      <c r="G20" t="str">
        <f t="array" ref="G20">IFERROR(INDEX(C$6:C$23,SMALL(IF($D$6:$D$23=TRUE,ROW($B$6:$B$23)-5),ROW()-5)),"")</f>
        <v/>
      </c>
      <c r="I20">
        <f t="array" ref="I20">IFERROR(INDEX(B$6:B$23,SMALL(IF($D$6:$D$23=FALSE,ROW($B$6:$B$23)-5),ROW()-5)),"")</f>
        <v>15</v>
      </c>
      <c r="J20" t="str">
        <f t="array" ref="J20">IFERROR(INDEX(C$6:C$23,SMALL(IF($D$6:$D$23=FALSE,ROW($B$6:$B$23)-5),ROW()-5)),"")</f>
        <v>文物钻探</v>
      </c>
    </row>
    <row r="21" spans="2:10" x14ac:dyDescent="0.3">
      <c r="B21" s="1">
        <v>16</v>
      </c>
      <c r="C21" s="2" t="s">
        <v>18</v>
      </c>
      <c r="D21" s="5" t="b">
        <v>0</v>
      </c>
      <c r="F21" t="str">
        <f t="array" ref="F21">IFERROR(INDEX(B$6:B$23,SMALL(IF($D$6:$D$23=TRUE,ROW($B$6:$B$23)-5),ROW()-5)),"")</f>
        <v/>
      </c>
      <c r="G21" t="str">
        <f t="array" ref="G21">IFERROR(INDEX(C$6:C$23,SMALL(IF($D$6:$D$23=TRUE,ROW($B$6:$B$23)-5),ROW()-5)),"")</f>
        <v/>
      </c>
      <c r="I21">
        <f t="array" ref="I21">IFERROR(INDEX(B$6:B$23,SMALL(IF($D$6:$D$23=FALSE,ROW($B$6:$B$23)-5),ROW()-5)),"")</f>
        <v>16</v>
      </c>
      <c r="J21" t="str">
        <f t="array" ref="J21">IFERROR(INDEX(C$6:C$23,SMALL(IF($D$6:$D$23=FALSE,ROW($B$6:$B$23)-5),ROW()-5)),"")</f>
        <v>垃圾处理</v>
      </c>
    </row>
    <row r="22" spans="2:10" x14ac:dyDescent="0.3">
      <c r="B22" s="1">
        <v>17</v>
      </c>
      <c r="C22" s="2" t="s">
        <v>19</v>
      </c>
      <c r="D22" s="5" t="b">
        <v>0</v>
      </c>
      <c r="F22" t="str">
        <f t="array" ref="F22">IFERROR(INDEX(B$6:B$23,SMALL(IF($D$6:$D$23=TRUE,ROW($B$6:$B$23)-5),ROW()-5)),"")</f>
        <v/>
      </c>
      <c r="G22" t="str">
        <f t="array" ref="G22">IFERROR(INDEX(C$6:C$23,SMALL(IF($D$6:$D$23=TRUE,ROW($B$6:$B$23)-5),ROW()-5)),"")</f>
        <v/>
      </c>
      <c r="I22">
        <f t="array" ref="I22">IFERROR(INDEX(B$6:B$23,SMALL(IF($D$6:$D$23=FALSE,ROW($B$6:$B$23)-5),ROW()-5)),"")</f>
        <v>17</v>
      </c>
      <c r="J22" t="str">
        <f t="array" ref="J22">IFERROR(INDEX(C$6:C$23,SMALL(IF($D$6:$D$23=FALSE,ROW($B$6:$B$23)-5),ROW()-5)),"")</f>
        <v>散装水泥专项基金</v>
      </c>
    </row>
    <row r="23" spans="2:10" x14ac:dyDescent="0.3">
      <c r="B23" s="1">
        <v>18</v>
      </c>
      <c r="C23" s="2" t="s">
        <v>20</v>
      </c>
      <c r="D23" s="5" t="b">
        <v>0</v>
      </c>
      <c r="F23" t="str">
        <f t="array" ref="F23">IFERROR(INDEX(B$6:B$23,SMALL(IF($D$6:$D$23=TRUE,ROW($B$6:$B$23)-5),ROW()-5)),"")</f>
        <v/>
      </c>
      <c r="G23" t="str">
        <f t="array" ref="G23">IFERROR(INDEX(C$6:C$23,SMALL(IF($D$6:$D$23=TRUE,ROW($B$6:$B$23)-5),ROW()-5)),"")</f>
        <v/>
      </c>
      <c r="I23">
        <f t="array" ref="I23">IFERROR(INDEX(B$6:B$23,SMALL(IF($D$6:$D$23=FALSE,ROW($B$6:$B$23)-5),ROW()-5)),"")</f>
        <v>18</v>
      </c>
      <c r="J23" t="str">
        <f t="array" ref="J23">IFERROR(INDEX(C$6:C$23,SMALL(IF($D$6:$D$23=FALSE,ROW($B$6:$B$23)-5),ROW()-5)),"")</f>
        <v>建筑方案评审</v>
      </c>
    </row>
  </sheetData>
  <mergeCells count="3">
    <mergeCell ref="B4:D4"/>
    <mergeCell ref="F4:G4"/>
    <mergeCell ref="I4:J4"/>
  </mergeCells>
  <phoneticPr fontId="1" type="noConversion"/>
  <conditionalFormatting sqref="B6:C23">
    <cfRule type="expression" dxfId="2" priority="3">
      <formula>$D6=TRUE</formula>
    </cfRule>
  </conditionalFormatting>
  <conditionalFormatting sqref="F6:G23">
    <cfRule type="expression" dxfId="1" priority="2">
      <formula>$F6&lt;&gt;""</formula>
    </cfRule>
  </conditionalFormatting>
  <conditionalFormatting sqref="I6:J23">
    <cfRule type="expression" dxfId="0" priority="1">
      <formula>$I6&lt;&gt;""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5" r:id="rId4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5</xdr:row>
                    <xdr:rowOff>9525</xdr:rowOff>
                  </from>
                  <to>
                    <xdr:col>3</xdr:col>
                    <xdr:colOff>685800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6</xdr:row>
                    <xdr:rowOff>9525</xdr:rowOff>
                  </from>
                  <to>
                    <xdr:col>3</xdr:col>
                    <xdr:colOff>685800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6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7</xdr:row>
                    <xdr:rowOff>9525</xdr:rowOff>
                  </from>
                  <to>
                    <xdr:col>3</xdr:col>
                    <xdr:colOff>685800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7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8</xdr:row>
                    <xdr:rowOff>9525</xdr:rowOff>
                  </from>
                  <to>
                    <xdr:col>3</xdr:col>
                    <xdr:colOff>685800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8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9</xdr:row>
                    <xdr:rowOff>9525</xdr:rowOff>
                  </from>
                  <to>
                    <xdr:col>3</xdr:col>
                    <xdr:colOff>685800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9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10</xdr:row>
                    <xdr:rowOff>9525</xdr:rowOff>
                  </from>
                  <to>
                    <xdr:col>3</xdr:col>
                    <xdr:colOff>685800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0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11</xdr:row>
                    <xdr:rowOff>9525</xdr:rowOff>
                  </from>
                  <to>
                    <xdr:col>3</xdr:col>
                    <xdr:colOff>685800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12</xdr:row>
                    <xdr:rowOff>9525</xdr:rowOff>
                  </from>
                  <to>
                    <xdr:col>3</xdr:col>
                    <xdr:colOff>685800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2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13</xdr:row>
                    <xdr:rowOff>9525</xdr:rowOff>
                  </from>
                  <to>
                    <xdr:col>3</xdr:col>
                    <xdr:colOff>685800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3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14</xdr:row>
                    <xdr:rowOff>9525</xdr:rowOff>
                  </from>
                  <to>
                    <xdr:col>3</xdr:col>
                    <xdr:colOff>685800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4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15</xdr:row>
                    <xdr:rowOff>9525</xdr:rowOff>
                  </from>
                  <to>
                    <xdr:col>3</xdr:col>
                    <xdr:colOff>685800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5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16</xdr:row>
                    <xdr:rowOff>9525</xdr:rowOff>
                  </from>
                  <to>
                    <xdr:col>3</xdr:col>
                    <xdr:colOff>685800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6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17</xdr:row>
                    <xdr:rowOff>9525</xdr:rowOff>
                  </from>
                  <to>
                    <xdr:col>3</xdr:col>
                    <xdr:colOff>685800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7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18</xdr:row>
                    <xdr:rowOff>9525</xdr:rowOff>
                  </from>
                  <to>
                    <xdr:col>3</xdr:col>
                    <xdr:colOff>685800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8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19</xdr:row>
                    <xdr:rowOff>9525</xdr:rowOff>
                  </from>
                  <to>
                    <xdr:col>3</xdr:col>
                    <xdr:colOff>685800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20</xdr:row>
                    <xdr:rowOff>9525</xdr:rowOff>
                  </from>
                  <to>
                    <xdr:col>3</xdr:col>
                    <xdr:colOff>685800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0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21</xdr:row>
                    <xdr:rowOff>9525</xdr:rowOff>
                  </from>
                  <to>
                    <xdr:col>3</xdr:col>
                    <xdr:colOff>685800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1" name="复选框1">
              <controlPr defaultSize="0" autoFill="0" autoLine="0" autoPict="0">
                <anchor moveWithCells="1">
                  <from>
                    <xdr:col>3</xdr:col>
                    <xdr:colOff>114300</xdr:colOff>
                    <xdr:row>22</xdr:row>
                    <xdr:rowOff>9525</xdr:rowOff>
                  </from>
                  <to>
                    <xdr:col>3</xdr:col>
                    <xdr:colOff>685800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 james</dc:creator>
  <cp:lastModifiedBy>xu james</cp:lastModifiedBy>
  <dcterms:created xsi:type="dcterms:W3CDTF">2021-07-20T08:39:40Z</dcterms:created>
  <dcterms:modified xsi:type="dcterms:W3CDTF">2022-12-28T12:33:08Z</dcterms:modified>
</cp:coreProperties>
</file>